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tail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<sst xmlns="http://schemas.openxmlformats.org/spreadsheetml/2006/main" count="54" uniqueCount="46">
  <si>
    <t xml:space="preserve">Pine Street Holdings</t>
  </si>
  <si>
    <t xml:space="preserve">Revenue by line, quarter ending 30 June</t>
  </si>
  <si>
    <t xml:space="preserve">Item</t>
  </si>
  <si>
    <t xml:space="preserve">Q1</t>
  </si>
  <si>
    <t xml:space="preserve">Q2</t>
  </si>
  <si>
    <t xml:space="preserve">Change</t>
  </si>
  <si>
    <t xml:space="preserve">Share</t>
  </si>
  <si>
    <t xml:space="preserve">Licences</t>
  </si>
  <si>
    <t xml:space="preserve">Professional services</t>
  </si>
  <si>
    <t xml:space="preserve">Hardware</t>
  </si>
  <si>
    <t xml:space="preserve">Support contracts</t>
  </si>
  <si>
    <t xml:space="preserve">Training</t>
  </si>
  <si>
    <t xml:space="preserve">Hosting</t>
  </si>
  <si>
    <t xml:space="preserve">Total</t>
  </si>
  <si>
    <t xml:space="preserve">Biggest riser</t>
  </si>
  <si>
    <t xml:space="preserve">Lines above 9,000</t>
  </si>
  <si>
    <t xml:space="preserve">Growth from the lines that grew</t>
  </si>
  <si>
    <t xml:space="preserve">Invoice</t>
  </si>
  <si>
    <t xml:space="preserve">Client</t>
  </si>
  <si>
    <t xml:space="preserve">Raised</t>
  </si>
  <si>
    <t xml:space="preserve">Amount</t>
  </si>
  <si>
    <t xml:space="preserve">Status</t>
  </si>
  <si>
    <t xml:space="preserve">PS-1041</t>
  </si>
  <si>
    <t xml:space="preserve">Woodland Ave Partners</t>
  </si>
  <si>
    <t xml:space="preserve">12 Apr</t>
  </si>
  <si>
    <t xml:space="preserve">Paid</t>
  </si>
  <si>
    <t xml:space="preserve">PS-1042</t>
  </si>
  <si>
    <t xml:space="preserve">Harbour Lane Clinic</t>
  </si>
  <si>
    <t xml:space="preserve">18 Apr</t>
  </si>
  <si>
    <t xml:space="preserve">Sent</t>
  </si>
  <si>
    <t xml:space="preserve">PS-1043</t>
  </si>
  <si>
    <t xml:space="preserve">Sam Rivera Consulting</t>
  </si>
  <si>
    <t xml:space="preserve">02 May</t>
  </si>
  <si>
    <t xml:space="preserve">Overdue</t>
  </si>
  <si>
    <t xml:space="preserve">PS-1044</t>
  </si>
  <si>
    <t xml:space="preserve">14 May</t>
  </si>
  <si>
    <t xml:space="preserve">PS-1045</t>
  </si>
  <si>
    <t xml:space="preserve">Kestrel Freight</t>
  </si>
  <si>
    <t xml:space="preserve">27 May</t>
  </si>
  <si>
    <t xml:space="preserve">PS-1046</t>
  </si>
  <si>
    <t xml:space="preserve">09 Jun</t>
  </si>
  <si>
    <t xml:space="preserve">PS-1047</t>
  </si>
  <si>
    <t xml:space="preserve">21 Jun</t>
  </si>
  <si>
    <t xml:space="preserve">Written up by Sam Rivera on 3 July.</t>
  </si>
  <si>
    <t xml:space="preserve">Hardware is down because the Woodland Ave order slipped into Q3.</t>
  </si>
  <si>
    <t xml:space="preserve">Hosting moves to the annual plan in Q4.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</si>
</sst>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808080"/>
      </bottom>
      <diagonal/>
    </border>
    <border diagonalUp="false" diagonalDown="false">
      <left/>
      <right/>
      <top style="hair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95"/>
    <col collapsed="false" customWidth="true" hidden="false" outlineLevel="0" max="5" min="2" style="0" width="13.6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customFormat="false" ht="12.8" hidden="false" customHeight="false" outlineLevel="0" collapsed="false">
      <c r="A5" s="0" t="s">
        <v>7</v>
      </c>
      <c r="B5" s="3" t="n">
        <v>24000</v>
      </c>
      <c r="C5" s="3" t="n">
        <v>26400</v>
      </c>
      <c r="D5" s="3" t="n">
        <f aca="false">C5-B5</f>
        <v>2400</v>
      </c>
      <c r="E5" s="4" t="n">
        <f aca="false">C5/C$11*100</f>
        <v>0.351</v>
      </c>
    </row>
    <row r="6" customFormat="false" ht="12.8" hidden="false" customHeight="false" outlineLevel="0" collapsed="false">
      <c r="A6" s="0" t="s">
        <v>8</v>
      </c>
      <c r="B6" s="3" t="n">
        <v>18500</v>
      </c>
      <c r="C6" s="3" t="n">
        <v>21750</v>
      </c>
      <c r="D6" s="3" t="n">
        <f aca="false">C6-B6</f>
        <v>3250</v>
      </c>
      <c r="E6" s="4" t="n">
        <f aca="false">C6/C$11*100</f>
        <v>0.289</v>
      </c>
    </row>
    <row r="7" customFormat="false" ht="12.8" hidden="false" customHeight="false" outlineLevel="0" collapsed="false">
      <c r="A7" s="0" t="s">
        <v>9</v>
      </c>
      <c r="B7" s="3" t="n">
        <v>6200</v>
      </c>
      <c r="C7" s="3" t="n">
        <v>5100</v>
      </c>
      <c r="D7" s="3" t="n">
        <f aca="false">C7-B7</f>
        <v>-1100</v>
      </c>
      <c r="E7" s="4" t="n">
        <f aca="false">C7/C$11*100</f>
        <v>0.068</v>
      </c>
    </row>
    <row r="8" customFormat="false" ht="12.8" hidden="false" customHeight="false" outlineLevel="0" collapsed="false">
      <c r="A8" s="0" t="s">
        <v>10</v>
      </c>
      <c r="B8" s="3" t="n">
        <v>9400</v>
      </c>
      <c r="C8" s="3" t="n">
        <v>9400</v>
      </c>
      <c r="D8" s="3" t="n">
        <f aca="false">C8-B8</f>
        <v>0</v>
      </c>
      <c r="E8" s="4" t="n">
        <f aca="false">C8/C$11*100</f>
        <v>0.125</v>
      </c>
    </row>
    <row r="9" customFormat="false" ht="12.8" hidden="false" customHeight="false" outlineLevel="0" collapsed="false">
      <c r="A9" s="0" t="s">
        <v>11</v>
      </c>
      <c r="B9" s="3" t="n">
        <v>3100</v>
      </c>
      <c r="C9" s="3" t="n">
        <v>4600</v>
      </c>
      <c r="D9" s="3" t="n">
        <f aca="false">C9-B9</f>
        <v>1500</v>
      </c>
      <c r="E9" s="4" t="n">
        <f aca="false">C9/C$11*100</f>
        <v>0.061</v>
      </c>
    </row>
    <row r="10" customFormat="false" ht="12.8" hidden="false" customHeight="false" outlineLevel="0" collapsed="false">
      <c r="A10" s="0" t="s">
        <v>12</v>
      </c>
      <c r="B10" s="3" t="n">
        <v>7250</v>
      </c>
      <c r="C10" s="3" t="n">
        <v>7900</v>
      </c>
      <c r="D10" s="3" t="n">
        <f aca="false">C10-B10</f>
        <v>650</v>
      </c>
      <c r="E10" s="4" t="n">
        <f aca="false">C10/C$11*100</f>
        <v>0.105</v>
      </c>
    </row>
    <row r="11" customFormat="false" ht="12.8" hidden="false" customHeight="false" outlineLevel="0" collapsed="false">
      <c r="A11" s="5" t="s">
        <v>13</v>
      </c>
      <c r="B11" s="6" t="n">
        <f aca="false">SUM(B5:B10)</f>
        <v>68450</v>
      </c>
      <c r="C11" s="6" t="n">
        <f aca="false">SUM(C5:C10)</f>
        <v>75150</v>
      </c>
      <c r="D11" s="6" t="n">
        <f aca="false">SUM(D5:D10)</f>
        <v>6700</v>
      </c>
    </row>
    <row r="13" customFormat="false" ht="12.8" hidden="false" customHeight="false" outlineLevel="0" collapsed="false">
      <c r="A13" s="2" t="s">
        <v>14</v>
      </c>
      <c r="B13" s="2" t="str">
        <f aca="false">INDEX(A5:A10,MATCH(MAX(D5:D10),D5:D10,0))</f>
        <v>Professional services</v>
      </c>
    </row>
    <row r="14" customFormat="false" ht="12.8" hidden="false" customHeight="false" outlineLevel="0" collapsed="false">
      <c r="A14" s="0" t="s">
        <v>15</v>
      </c>
      <c r="B14" s="0" t="n">
        <f aca="false">COUNTIF(C5:C10,"&gt;9000")</f>
        <v>3</v>
      </c>
    </row>
    <row r="15" customFormat="false" ht="12.8" hidden="false" customHeight="false" outlineLevel="0" collapsed="false">
      <c r="A15" s="0" t="s">
        <v>16</v>
      </c>
      <c r="B15" s="3" t="n">
        <f aca="false">SUMIF(D5:D10,"&gt;0")</f>
        <v>7800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95"/>
    <col collapsed="false" customWidth="true" hidden="false" outlineLevel="0" max="4" min="2" style="0" width="13.62"/>
  </cols>
  <sheetData>
    <row r="1" customFormat="false" ht="12.8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customFormat="false" ht="12.8" hidden="false" customHeight="false" outlineLevel="0" collapsed="false">
      <c r="A2" s="0" t="s">
        <v>22</v>
      </c>
      <c r="B2" s="0" t="s">
        <v>23</v>
      </c>
      <c r="C2" s="0" t="s">
        <v>24</v>
      </c>
      <c r="D2" s="3" t="n">
        <v>8400</v>
      </c>
      <c r="E2" s="7" t="s">
        <v>25</v>
      </c>
    </row>
    <row r="3" customFormat="false" ht="12.8" hidden="false" customHeight="false" outlineLevel="0" collapsed="false">
      <c r="A3" s="0" t="s">
        <v>26</v>
      </c>
      <c r="B3" s="0" t="s">
        <v>27</v>
      </c>
      <c r="C3" s="0" t="s">
        <v>28</v>
      </c>
      <c r="D3" s="3" t="n">
        <v>3150</v>
      </c>
      <c r="E3" s="7" t="s">
        <v>29</v>
      </c>
    </row>
    <row r="4" customFormat="false" ht="12.8" hidden="false" customHeight="false" outlineLevel="0" collapsed="false">
      <c r="A4" s="0" t="s">
        <v>30</v>
      </c>
      <c r="B4" s="0" t="s">
        <v>31</v>
      </c>
      <c r="C4" s="0" t="s">
        <v>32</v>
      </c>
      <c r="D4" s="3" t="n">
        <v>12600</v>
      </c>
      <c r="E4" s="7" t="s">
        <v>33</v>
      </c>
    </row>
    <row r="5" customFormat="false" ht="12.8" hidden="false" customHeight="false" outlineLevel="0" collapsed="false">
      <c r="A5" s="0" t="s">
        <v>34</v>
      </c>
      <c r="B5" s="0" t="s">
        <v>23</v>
      </c>
      <c r="C5" s="0" t="s">
        <v>35</v>
      </c>
      <c r="D5" s="3" t="n">
        <v>5900</v>
      </c>
      <c r="E5" s="7" t="s">
        <v>25</v>
      </c>
    </row>
    <row r="6" customFormat="false" ht="12.8" hidden="false" customHeight="false" outlineLevel="0" collapsed="false">
      <c r="A6" s="0" t="s">
        <v>36</v>
      </c>
      <c r="B6" s="0" t="s">
        <v>37</v>
      </c>
      <c r="C6" s="0" t="s">
        <v>38</v>
      </c>
      <c r="D6" s="3" t="n">
        <v>4750</v>
      </c>
      <c r="E6" s="7" t="s">
        <v>29</v>
      </c>
    </row>
    <row r="7" customFormat="false" ht="12.8" hidden="false" customHeight="false" outlineLevel="0" collapsed="false">
      <c r="A7" s="0" t="s">
        <v>39</v>
      </c>
      <c r="B7" s="0" t="s">
        <v>27</v>
      </c>
      <c r="C7" s="0" t="s">
        <v>40</v>
      </c>
      <c r="D7" s="3" t="n">
        <v>6300</v>
      </c>
      <c r="E7" s="7" t="s">
        <v>33</v>
      </c>
    </row>
    <row r="8" customFormat="false" ht="12.8" hidden="false" customHeight="false" outlineLevel="0" collapsed="false">
      <c r="A8" s="0" t="s">
        <v>41</v>
      </c>
      <c r="B8" s="0" t="s">
        <v>37</v>
      </c>
      <c r="C8" s="0" t="s">
        <v>42</v>
      </c>
      <c r="D8" s="3" t="n">
        <v>9050</v>
      </c>
      <c r="E8" s="7" t="s">
        <v>25</v>
      </c>
    </row>
    <row r="9" customFormat="false" ht="12.8" hidden="false" customHeight="false" outlineLevel="0" collapsed="false">
      <c r="A9" s="5" t="s">
        <v>13</v>
      </c>
      <c r="D9" s="6" t="n">
        <f aca="false">SUM(D2:D8)</f>
        <v>50150</v>
      </c>
    </row>
  </sheetData>
  <dataValidations count="1">
    <dataValidation allowBlank="true" errorStyle="stop" operator="equal" prompt="One of Sent, Paid or Overdue." promptTitle="Status" showDropDown="false" showErrorMessage="false" showInputMessage="true" sqref="E2:E8" type="list">
      <formula1>"Sent,Paid,Overdue"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95"/>
    <col collapsed="false" customWidth="true" hidden="false" outlineLevel="0" max="2" min="2" style="0" width="13.62"/>
  </cols>
  <sheetData>
    <row r="1" customFormat="false" ht="12.8" hidden="false" customHeight="false" outlineLevel="0" collapsed="false">
      <c r="A1" s="0" t="s">
        <v>43</v>
      </c>
    </row>
    <row r="2" customFormat="false" ht="12.8" hidden="false" customHeight="false" outlineLevel="0" collapsed="false">
      <c r="A2" s="0" t="s">
        <v>44</v>
      </c>
    </row>
    <row r="3" customFormat="false" ht="12.8" hidden="false" customHeight="false" outlineLevel="0" collapsed="false">
      <c r="A3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